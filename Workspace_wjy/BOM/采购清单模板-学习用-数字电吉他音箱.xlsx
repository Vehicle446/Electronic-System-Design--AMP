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学习\国科大\Semester 8\电子系统设计\Electronic-System-Design--AMP\Workspace_wjy\BOM\"/>
    </mc:Choice>
  </mc:AlternateContent>
  <xr:revisionPtr revIDLastSave="0" documentId="8_{92E7DA22-14A8-4607-8E8F-8E2E973447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3" i="1"/>
  <c r="B8" i="1" l="1"/>
</calcChain>
</file>

<file path=xl/sharedStrings.xml><?xml version="1.0" encoding="utf-8"?>
<sst xmlns="http://schemas.openxmlformats.org/spreadsheetml/2006/main" count="18" uniqueCount="17">
  <si>
    <t>序号</t>
  </si>
  <si>
    <t>器件类型</t>
  </si>
  <si>
    <t>型号</t>
  </si>
  <si>
    <t>单价</t>
  </si>
  <si>
    <t>数量</t>
  </si>
  <si>
    <t>总价</t>
  </si>
  <si>
    <t>链接</t>
  </si>
  <si>
    <t>数字电吉他音箱 小组采购明细</t>
    <phoneticPr fontId="2" type="noConversion"/>
  </si>
  <si>
    <t>主控MCU</t>
    <phoneticPr fontId="2" type="noConversion"/>
  </si>
  <si>
    <t>STM32H743vgt6核心板</t>
    <phoneticPr fontId="2" type="noConversion"/>
  </si>
  <si>
    <t xml:space="preserve"> https://e.tb.cn/h.ij2k0VnCWquskeg?tk=K6Wn5cimtJV</t>
    <phoneticPr fontId="2" type="noConversion"/>
  </si>
  <si>
    <t>AC-DC电源</t>
    <phoneticPr fontId="2" type="noConversion"/>
  </si>
  <si>
    <t>MW(明纬)LRS-200-48开关电源 48V4.4A</t>
    <phoneticPr fontId="2" type="noConversion"/>
  </si>
  <si>
    <t>CODEC芯片</t>
    <phoneticPr fontId="2" type="noConversion"/>
  </si>
  <si>
    <t>TAC5111 IRGER</t>
    <phoneticPr fontId="2" type="noConversion"/>
  </si>
  <si>
    <t>https://item.szlcsc.com/47426035.html?fromZone=s_s__%2522TAC5111%2522&amp;spm=sc.gbn.xh1.zy.n___sc.hm.hd.ss&amp;lcsc_vid=RFYMAQdSQVZeXgUCFVEPUQdfFlkNBV1TQVVaA1JVEVgxVlNRQ1lbXlRWQVhWXzsOAxUeFF5JWBYZEEoBGA4JCwFIFA4DSA%3D%3D</t>
    <phoneticPr fontId="2" type="noConversion"/>
  </si>
  <si>
    <t>https://item.taobao.com/item.htm?app=chrome&amp;bxsign=scdgI_nG5xLc0aFvI4B8lwJPLeKeFRFix8qmWMsaHZeaoZczejI0QjOwfN3cMXO5PQm5jripOfpZB0it36MSR0mt1h6K3w3VbmgyPAWxPnZBZoeTIv_jbWgF7bDr3iqd_GJ&amp;cpp=1&amp;id=845443726298&amp;price=91&amp;shareUniqueId=35537137132&amp;share_crt_v=1&amp;shareurl=true&amp;short_name=h.ij2HDwvGfvaBAhp&amp;skuId=5743053844491&amp;sourceType=item&amp;sp_tk=S0h0NDVjaXZON1Y%3D&amp;spm=a2159r.13376460.0.0&amp;suid=2edda75d-70f1-4b71-b2aa-e2a2027990bf&amp;tbSocialPopKey=shareItem&amp;tk=KHt45civN7V&amp;un=0e613903e949cb6d4623f433a4270ff2&amp;un_site=0&amp;ut_sk=1.Zqy78UvOCbgDAHtqCKZwjccz_21646297_1774858836241.Copy.1&amp;wxsign=tbwDSev907mP3rpoMnSqk0GBwJ1dPJAoZug-6fUoU-hnSOq-OIFXPAq-DvoMM_Rg54pPkEyEmTgNCHuiBy5dnZeaRsxH3-4ozOP9B_PIZViNX8Ex1CCQtlxf-toJiRbu_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</si>
</sst>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szlcsc.com/47426035.html?fromZone=s_s__%2522TAC5111%2522&amp;spm=sc.gbn.xh1.zy.n___sc.hm.hd.ss&amp;lcsc_vid=RFYMAQdSQVZeXgUCFVEPUQdfFlkNBV1TQVVaA1JVEVgxVlNRQ1lbXlRWQVhWXzsOAxUeFF5JWBYZEEoBGA4JCwFIFA4DSA%3D%3D" TargetMode="External"/><Relationship Id="rId1" Type="http://schemas.openxmlformats.org/officeDocument/2006/relationships/hyperlink" Target="https://item.taobao.com/item.htm?from=cart&amp;id=540349126200&amp;mi_id=0000yf8tqv9kn93FrmbIiUZdBR6TxyXCb09ZlpqoysZ9x10&amp;skuId=3762800706616&amp;spm=a1z0d.6639537%2F202410.item.d540349126200.5eb47484TM1bfe&amp;upStreamPrice=37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15" zoomScaleNormal="115" workbookViewId="0">
      <selection activeCell="C9" sqref="C9"/>
    </sheetView>
  </sheetViews>
  <sheetFormatPr defaultColWidth="9" defaultRowHeight="14" x14ac:dyDescent="0.3"/>
  <cols>
    <col min="2" max="2" width="15.25" customWidth="1"/>
    <col min="3" max="3" width="36.83203125" customWidth="1"/>
  </cols>
  <sheetData>
    <row r="1" spans="1:7" x14ac:dyDescent="0.3">
      <c r="A1" s="4" t="s">
        <v>7</v>
      </c>
      <c r="B1" s="3"/>
      <c r="C1" s="3"/>
      <c r="D1" s="3"/>
      <c r="E1" s="3"/>
      <c r="F1" s="3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t="s">
        <v>6</v>
      </c>
    </row>
    <row r="3" spans="1:7" x14ac:dyDescent="0.3">
      <c r="A3" s="1">
        <v>1</v>
      </c>
      <c r="B3" s="5" t="s">
        <v>8</v>
      </c>
      <c r="C3" s="5" t="s">
        <v>9</v>
      </c>
      <c r="D3" s="1">
        <v>58.6</v>
      </c>
      <c r="E3" s="1">
        <v>1</v>
      </c>
      <c r="F3" s="1">
        <f>D3*E3</f>
        <v>58.6</v>
      </c>
      <c r="G3" s="6" t="s">
        <v>10</v>
      </c>
    </row>
    <row r="4" spans="1:7" x14ac:dyDescent="0.3">
      <c r="A4" s="1">
        <v>2</v>
      </c>
      <c r="B4" s="5" t="s">
        <v>11</v>
      </c>
      <c r="C4" s="5" t="s">
        <v>12</v>
      </c>
      <c r="D4" s="1">
        <v>91</v>
      </c>
      <c r="E4" s="1">
        <v>1</v>
      </c>
      <c r="F4" s="1">
        <f>D4*E4</f>
        <v>91</v>
      </c>
      <c r="G4" s="2" t="s">
        <v>16</v>
      </c>
    </row>
    <row r="5" spans="1:7" x14ac:dyDescent="0.3">
      <c r="A5" s="1">
        <v>3</v>
      </c>
      <c r="B5" s="5" t="s">
        <v>13</v>
      </c>
      <c r="C5" s="5" t="s">
        <v>14</v>
      </c>
      <c r="D5" s="1">
        <v>37.65</v>
      </c>
      <c r="E5" s="1">
        <v>1</v>
      </c>
      <c r="F5" s="1">
        <f t="shared" ref="F4:F6" si="0">D5*E5</f>
        <v>37.65</v>
      </c>
      <c r="G5" s="2" t="s">
        <v>15</v>
      </c>
    </row>
    <row r="6" spans="1:7" x14ac:dyDescent="0.3">
      <c r="A6" s="1"/>
      <c r="B6" s="1"/>
      <c r="C6" s="1"/>
      <c r="D6" s="1"/>
      <c r="E6" s="1"/>
      <c r="F6" s="1"/>
      <c r="G6" s="2"/>
    </row>
    <row r="7" spans="1:7" x14ac:dyDescent="0.3">
      <c r="G7" s="2"/>
    </row>
    <row r="8" spans="1:7" x14ac:dyDescent="0.3">
      <c r="A8" s="1" t="s">
        <v>5</v>
      </c>
      <c r="B8">
        <f>F3+F4+F5+F6</f>
        <v>187.25</v>
      </c>
      <c r="G8" s="2"/>
    </row>
    <row r="9" spans="1:7" x14ac:dyDescent="0.3">
      <c r="G9" s="2"/>
    </row>
    <row r="10" spans="1:7" x14ac:dyDescent="0.3">
      <c r="G10" s="2"/>
    </row>
    <row r="11" spans="1:7" x14ac:dyDescent="0.3">
      <c r="G11" s="2"/>
    </row>
    <row r="12" spans="1:7" x14ac:dyDescent="0.3">
      <c r="G12" s="2"/>
    </row>
    <row r="13" spans="1:7" x14ac:dyDescent="0.3">
      <c r="G13" s="2"/>
    </row>
    <row r="14" spans="1:7" x14ac:dyDescent="0.3">
      <c r="G14" s="2"/>
    </row>
  </sheetData>
  <mergeCells count="1">
    <mergeCell ref="A1:F1"/>
  </mergeCells>
  <phoneticPr fontId="2" type="noConversion"/>
  <hyperlinks>
    <hyperlink ref="G3" r:id="rId1" display="https://item.taobao.com/item.htm?from=cart&amp;id=540349126200&amp;mi_id=0000yf8tqv9kn93FrmbIiUZdBR6TxyXCb09ZlpqoysZ9x10&amp;skuId=3762800706616&amp;spm=a1z0d.6639537%2F202410.item.d540349126200.5eb47484TM1bfe&amp;upStreamPrice=37800" xr:uid="{00000000-0004-0000-0000-000000000000}"/>
    <hyperlink ref="G5" r:id="rId2" xr:uid="{1CF8AA22-FAAA-4173-B32B-29526D8B19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麟淇 董</dc:creator>
  <cp:lastModifiedBy>Kathan_Nid</cp:lastModifiedBy>
  <dcterms:created xsi:type="dcterms:W3CDTF">2026-03-24T07:45:00Z</dcterms:created>
  <dcterms:modified xsi:type="dcterms:W3CDTF">2026-03-30T08:33:25Z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B7C1345F5DEB49E69E2872BA6623F6A8_12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